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D:\040. School\04. Unit - Activity\REC - ROBOCON\Recruitment Competition\Programming\"/>
    </mc:Choice>
  </mc:AlternateContent>
  <xr:revisionPtr revIDLastSave="0" documentId="13_ncr:1_{1137186D-6CDF-40AD-BB14-ECC03772DD96}" xr6:coauthVersionLast="47" xr6:coauthVersionMax="47" xr10:uidLastSave="{00000000-0000-0000-0000-000000000000}"/>
  <bookViews>
    <workbookView xWindow="-120" yWindow="-120" windowWidth="29040" windowHeight="18240" tabRatio="500" xr2:uid="{00000000-000D-0000-FFFF-FFFF00000000}"/>
  </bookViews>
  <sheets>
    <sheet name="Button Map" sheetId="1" r:id="rId1"/>
    <sheet name="Turn Behaviour" sheetId="2" r:id="rId2"/>
    <sheet name="Protocol" sheetId="3" r:id="rId3"/>
    <sheet name="Tuning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8" i="4" l="1"/>
  <c r="B16" i="4"/>
  <c r="B17" i="4" s="1"/>
  <c r="C25" i="1"/>
</calcChain>
</file>

<file path=xl/sharedStrings.xml><?xml version="1.0" encoding="utf-8"?>
<sst xmlns="http://schemas.openxmlformats.org/spreadsheetml/2006/main" count="189" uniqueCount="144">
  <si>
    <t>REC robot remote: Xbox 360 button map (phase 1)</t>
  </si>
  <si>
    <t>Legend: the Status column (yellow) is yours to edit: Planned, Coded or Tested. Everything else is the proposed design; change any row freely.</t>
  </si>
  <si>
    <t>Group</t>
  </si>
  <si>
    <t>Input</t>
  </si>
  <si>
    <t>Action</t>
  </si>
  <si>
    <t>Notes</t>
  </si>
  <si>
    <t>Status</t>
  </si>
  <si>
    <t>Driving</t>
  </si>
  <si>
    <t>Left stick Y</t>
  </si>
  <si>
    <t>Forward and back speed, proportional</t>
  </si>
  <si>
    <t>Planned</t>
  </si>
  <si>
    <t>Left stick X</t>
  </si>
  <si>
    <t>Steering (arcade style), matches the dashboard simulator</t>
  </si>
  <si>
    <t>Stick released to centre</t>
  </si>
  <si>
    <t>Motors stop</t>
  </si>
  <si>
    <t>Stick straight, no steering</t>
  </si>
  <si>
    <t>Heading hold: keep the heading the robot had when the stick was pushed (gyro)</t>
  </si>
  <si>
    <t>Needs Y (heading hold) on</t>
  </si>
  <si>
    <t>LT (hold)</t>
  </si>
  <si>
    <t>Precision mode: speed capped</t>
  </si>
  <si>
    <t>See Tuning: precision cap</t>
  </si>
  <si>
    <t>RT (hold)</t>
  </si>
  <si>
    <t>Boost: full speed cap</t>
  </si>
  <si>
    <t>Precise turns</t>
  </si>
  <si>
    <t>D-pad left</t>
  </si>
  <si>
    <t>Turn 90° left</t>
  </si>
  <si>
    <t>Relative to target heading</t>
  </si>
  <si>
    <t>D-pad right</t>
  </si>
  <si>
    <t>Turn 90° right</t>
  </si>
  <si>
    <t>D-pad down</t>
  </si>
  <si>
    <t>Turn 180°</t>
  </si>
  <si>
    <t>D-pad up</t>
  </si>
  <si>
    <t>Return to heading 0</t>
  </si>
  <si>
    <t>Heading at startup or last Back press</t>
  </si>
  <si>
    <t>LB</t>
  </si>
  <si>
    <t>Nudge left</t>
  </si>
  <si>
    <t>Size: see Tuning (nudge angle). For lining up on a cube</t>
  </si>
  <si>
    <t>RB</t>
  </si>
  <si>
    <t>Nudge right</t>
  </si>
  <si>
    <t>Size: see Tuning (nudge angle)</t>
  </si>
  <si>
    <t>Gripper</t>
  </si>
  <si>
    <t>A</t>
  </si>
  <si>
    <t>Close the gripper</t>
  </si>
  <si>
    <t>Two buttons, no toggle, so the state is never ambiguous</t>
  </si>
  <si>
    <t>B</t>
  </si>
  <si>
    <t>Open the gripper</t>
  </si>
  <si>
    <t>X</t>
  </si>
  <si>
    <t>Half-open preset</t>
  </si>
  <si>
    <t>Angle to be tuned on the real servo</t>
  </si>
  <si>
    <t>Safety</t>
  </si>
  <si>
    <t>Start</t>
  </si>
  <si>
    <t>Arm / disarm the motors</t>
  </si>
  <si>
    <t>Robot ignores everything until armed</t>
  </si>
  <si>
    <t>Back (hold 1 s)</t>
  </si>
  <si>
    <t>Re-zero gyro and set heading to 0</t>
  </si>
  <si>
    <t>Robot must be still</t>
  </si>
  <si>
    <t>Y</t>
  </si>
  <si>
    <t>Heading hold on / off</t>
  </si>
  <si>
    <t>Free for later</t>
  </si>
  <si>
    <t>Right stick, L3, R3</t>
  </si>
  <si>
    <t>Unassigned</t>
  </si>
  <si>
    <t>Reserved for new features</t>
  </si>
  <si>
    <t>Free</t>
  </si>
  <si>
    <t>Progress</t>
  </si>
  <si>
    <t>How the precise turns behave</t>
  </si>
  <si>
    <t>#</t>
  </si>
  <si>
    <t>Topic</t>
  </si>
  <si>
    <t>Rule</t>
  </si>
  <si>
    <t>1</t>
  </si>
  <si>
    <t>Reference</t>
  </si>
  <si>
    <t>Each turn is relative to the target heading, not the current yaw. After a turn, the new target is old target ± angle, so errors do not accumulate.</t>
  </si>
  <si>
    <t>2</t>
  </si>
  <si>
    <t>Execution</t>
  </si>
  <si>
    <t>The turn runs on its own, slows down near the target, and stops within the tolerance with the rotation rate near zero.</t>
  </si>
  <si>
    <t>3</t>
  </si>
  <si>
    <t>Tuning needed</t>
  </si>
  <si>
    <t>TT motors overshoot from inertia: tune the speed ramp and the minimum PWM on the real robot.</t>
  </si>
  <si>
    <t>4</t>
  </si>
  <si>
    <t>Cancel</t>
  </si>
  <si>
    <t>A stick push beyond the cancel threshold stops the turn so the driver stays in control.</t>
  </si>
  <si>
    <t>5</t>
  </si>
  <si>
    <t>Stick lockout</t>
  </si>
  <si>
    <t>Stick input is otherwise ignored while a turn is running.</t>
  </si>
  <si>
    <t>6</t>
  </si>
  <si>
    <t>Heading hold</t>
  </si>
  <si>
    <t>With no steering input and driving, correct each loop: error = target − yaw; add or subtract Kp × error on left and right PWM.</t>
  </si>
  <si>
    <t>7</t>
  </si>
  <si>
    <t>Gyro drift</t>
  </si>
  <si>
    <t>About 1° per minute after calibration; re-zero with Back before each run.</t>
  </si>
  <si>
    <t>8</t>
  </si>
  <si>
    <t>Gyro setup</t>
  </si>
  <si>
    <t>Calibrate at startup (about 1 s still, average the readings), mount flat and rigid, away from the motors, Z axis up.</t>
  </si>
  <si>
    <t>Laptop to ESP32 command protocol (replaces single letters F/B/L/R/S/O/C)</t>
  </si>
  <si>
    <t>Command</t>
  </si>
  <si>
    <t>Meaning</t>
  </si>
  <si>
    <t>D,speed,steer,flags</t>
  </si>
  <si>
    <t>Drive frame, sent continuously</t>
  </si>
  <si>
    <t>Rate: see Tuning (send rate). Speed and steer are signed values, flags carries mode bits.</t>
  </si>
  <si>
    <t>T90</t>
  </si>
  <si>
    <t>One-off event</t>
  </si>
  <si>
    <t>T-90</t>
  </si>
  <si>
    <t>T180</t>
  </si>
  <si>
    <t>T0</t>
  </si>
  <si>
    <t>G1</t>
  </si>
  <si>
    <t>Gripper close</t>
  </si>
  <si>
    <t>G0</t>
  </si>
  <si>
    <t>Gripper open</t>
  </si>
  <si>
    <t>ARM</t>
  </si>
  <si>
    <t>Arm / disarm motors</t>
  </si>
  <si>
    <t>Toggle</t>
  </si>
  <si>
    <t>ZERO</t>
  </si>
  <si>
    <t>Re-zero gyro and heading</t>
  </si>
  <si>
    <t>Failsafe</t>
  </si>
  <si>
    <t>Stop if no frame arrives within the failsafe time</t>
  </si>
  <si>
    <t>See Tuning (failsafe). Keeps the robot from running away if the laptop link drops.</t>
  </si>
  <si>
    <t>Tuning parameters (starting values)</t>
  </si>
  <si>
    <t>Blue cells on yellow are inputs: edit them. Starting values are my suggestions from the plan, to be tuned on the real robot; they are not measured.</t>
  </si>
  <si>
    <t>Parameter</t>
  </si>
  <si>
    <t>Value</t>
  </si>
  <si>
    <t>Turn tolerance (°)</t>
  </si>
  <si>
    <t>Stop when within this many degrees of the target</t>
  </si>
  <si>
    <t>Stick cancel threshold</t>
  </si>
  <si>
    <t>Fraction of full deflection that cancels a turn</t>
  </si>
  <si>
    <t>Nudge angle (°)</t>
  </si>
  <si>
    <t>LB / RB</t>
  </si>
  <si>
    <t>Precision mode speed cap</t>
  </si>
  <si>
    <t>LT held; fraction of full speed</t>
  </si>
  <si>
    <t>Heading-hold Kp</t>
  </si>
  <si>
    <t>From the phase 1 plan (driveStraight); tune on the floor</t>
  </si>
  <si>
    <t>Send rate (Hz)</t>
  </si>
  <si>
    <t>Drive frames per second from the laptop bridge</t>
  </si>
  <si>
    <t>Failsafe timeout (ms)</t>
  </si>
  <si>
    <t>Matches the current sketch</t>
  </si>
  <si>
    <t>Minimum motor PWM (out of 255)</t>
  </si>
  <si>
    <t>TT motors stall below about 60 to 90; tune per robot</t>
  </si>
  <si>
    <t>Maximum PWM cap (out of 255)</t>
  </si>
  <si>
    <t>Keeps the motors in range on a fresh 2S pack (8.4 V through the L298N)</t>
  </si>
  <si>
    <t>Derived</t>
  </si>
  <si>
    <t>Frame interval (ms)</t>
  </si>
  <si>
    <t>Time between drive frames</t>
  </si>
  <si>
    <t>Frames lost before failsafe</t>
  </si>
  <si>
    <t>Failsafe timeout divided by frame interval; should be 4 or more so one dropped frame does not stop the robot</t>
  </si>
  <si>
    <t>Usable PWM range</t>
  </si>
  <si>
    <t>Maximum minus minimum PWM: the span the controller can actually 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</si>
</sst>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sz val="10"/>
      <name val="Arial"/>
      <charset val="1"/>
    </font>
    <font>
      <b/>
      <sz val="10"/>
      <color rgb="FFFFFFFF"/>
      <name val="Arial"/>
      <charset val="1"/>
    </font>
    <font>
      <sz val="10"/>
      <color rgb="FF0000FF"/>
      <name val="Arial"/>
      <charset val="1"/>
    </font>
    <font>
      <b/>
      <sz val="10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0F766E"/>
        <bgColor rgb="FF008080"/>
      </patternFill>
    </fill>
    <fill>
      <patternFill patternType="solid">
        <fgColor rgb="FFFFFF00"/>
        <bgColor rgb="FFFFFF00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rgb="FFD5DCE0"/>
      </left>
      <right style="thin">
        <color rgb="FFD5DCE0"/>
      </right>
      <top style="thin">
        <color rgb="FFD5DCE0"/>
      </top>
      <bottom style="thin">
        <color rgb="FFD5DCE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5" fillId="0" borderId="0" xfId="0" applyFont="1"/>
    <xf numFmtId="164" fontId="4" fillId="3" borderId="1" xfId="0" applyNumberFormat="1" applyFont="1" applyFill="1" applyBorder="1" applyAlignment="1">
      <alignment vertical="top" wrapText="1"/>
    </xf>
    <xf numFmtId="9" fontId="4" fillId="3" borderId="1" xfId="0" applyNumberFormat="1" applyFont="1" applyFill="1" applyBorder="1" applyAlignment="1">
      <alignment vertical="top" wrapText="1"/>
    </xf>
    <xf numFmtId="164" fontId="2" fillId="0" borderId="1" xfId="0" applyNumberFormat="1" applyFont="1" applyBorder="1" applyAlignment="1">
      <alignment vertical="top" wrapText="1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766E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5DC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266700</xdr:colOff>
      <xdr:row>4</xdr:row>
      <xdr:rowOff>9525</xdr:rowOff>
    </xdr:from>
    <xdr:to>
      <xdr:col>14</xdr:col>
      <xdr:colOff>86349</xdr:colOff>
      <xdr:row>37</xdr:row>
      <xdr:rowOff>48526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0E84390-E241-545C-F6E1-9533585AB1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649075" y="809625"/>
          <a:ext cx="4467849" cy="64588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tabSelected="1" zoomScaleNormal="100" workbookViewId="0">
      <pane ySplit="4" topLeftCell="A5" activePane="bottomLeft" state="frozen"/>
      <selection pane="bottomLeft" activeCell="E34" sqref="E34"/>
    </sheetView>
  </sheetViews>
  <sheetFormatPr defaultColWidth="8.7109375" defaultRowHeight="15" x14ac:dyDescent="0.25"/>
  <cols>
    <col min="2" max="2" width="16" customWidth="1"/>
    <col min="3" max="3" width="26" customWidth="1"/>
    <col min="4" max="4" width="58" customWidth="1"/>
    <col min="5" max="5" width="50" customWidth="1"/>
    <col min="6" max="6" width="12" customWidth="1"/>
  </cols>
  <sheetData>
    <row r="1" spans="1:6" ht="18" x14ac:dyDescent="0.25">
      <c r="A1" s="10"/>
      <c r="B1" s="1" t="s">
        <v>0</v>
      </c>
    </row>
    <row r="2" spans="1:6" x14ac:dyDescent="0.25">
      <c r="A2" s="10"/>
      <c r="B2" s="2" t="s">
        <v>1</v>
      </c>
    </row>
    <row r="3" spans="1:6" x14ac:dyDescent="0.25">
      <c r="A3" s="10"/>
    </row>
    <row r="4" spans="1:6" x14ac:dyDescent="0.25">
      <c r="A4" s="10"/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</row>
    <row r="5" spans="1:6" x14ac:dyDescent="0.25">
      <c r="A5" s="10"/>
      <c r="B5" s="4" t="s">
        <v>7</v>
      </c>
      <c r="C5" s="4" t="s">
        <v>8</v>
      </c>
      <c r="D5" s="4" t="s">
        <v>9</v>
      </c>
      <c r="E5" s="4"/>
      <c r="F5" s="5" t="s">
        <v>10</v>
      </c>
    </row>
    <row r="6" spans="1:6" x14ac:dyDescent="0.25">
      <c r="A6" s="10"/>
      <c r="B6" s="4" t="s">
        <v>7</v>
      </c>
      <c r="C6" s="4" t="s">
        <v>11</v>
      </c>
      <c r="D6" s="4" t="s">
        <v>12</v>
      </c>
      <c r="E6" s="4"/>
      <c r="F6" s="5" t="s">
        <v>10</v>
      </c>
    </row>
    <row r="7" spans="1:6" x14ac:dyDescent="0.25">
      <c r="A7" s="10"/>
      <c r="B7" s="4" t="s">
        <v>7</v>
      </c>
      <c r="C7" s="4" t="s">
        <v>13</v>
      </c>
      <c r="D7" s="4" t="s">
        <v>14</v>
      </c>
      <c r="E7" s="4"/>
      <c r="F7" s="5" t="s">
        <v>10</v>
      </c>
    </row>
    <row r="8" spans="1:6" ht="25.5" x14ac:dyDescent="0.25">
      <c r="A8" s="10"/>
      <c r="B8" s="4" t="s">
        <v>7</v>
      </c>
      <c r="C8" s="4" t="s">
        <v>15</v>
      </c>
      <c r="D8" s="4" t="s">
        <v>16</v>
      </c>
      <c r="E8" s="4" t="s">
        <v>17</v>
      </c>
      <c r="F8" s="5" t="s">
        <v>10</v>
      </c>
    </row>
    <row r="9" spans="1:6" x14ac:dyDescent="0.25">
      <c r="A9" s="10"/>
      <c r="B9" s="4" t="s">
        <v>7</v>
      </c>
      <c r="C9" s="4" t="s">
        <v>18</v>
      </c>
      <c r="D9" s="4" t="s">
        <v>19</v>
      </c>
      <c r="E9" s="4" t="s">
        <v>20</v>
      </c>
      <c r="F9" s="5" t="s">
        <v>10</v>
      </c>
    </row>
    <row r="10" spans="1:6" x14ac:dyDescent="0.25">
      <c r="A10" s="10"/>
      <c r="B10" s="4" t="s">
        <v>7</v>
      </c>
      <c r="C10" s="4" t="s">
        <v>21</v>
      </c>
      <c r="D10" s="4" t="s">
        <v>22</v>
      </c>
      <c r="E10" s="4"/>
      <c r="F10" s="5" t="s">
        <v>10</v>
      </c>
    </row>
    <row r="11" spans="1:6" x14ac:dyDescent="0.25">
      <c r="A11" s="10"/>
      <c r="B11" s="4" t="s">
        <v>23</v>
      </c>
      <c r="C11" s="4" t="s">
        <v>24</v>
      </c>
      <c r="D11" s="4" t="s">
        <v>25</v>
      </c>
      <c r="E11" s="4" t="s">
        <v>26</v>
      </c>
      <c r="F11" s="5" t="s">
        <v>10</v>
      </c>
    </row>
    <row r="12" spans="1:6" x14ac:dyDescent="0.25">
      <c r="A12" s="10"/>
      <c r="B12" s="4" t="s">
        <v>23</v>
      </c>
      <c r="C12" s="4" t="s">
        <v>27</v>
      </c>
      <c r="D12" s="4" t="s">
        <v>28</v>
      </c>
      <c r="E12" s="4" t="s">
        <v>26</v>
      </c>
      <c r="F12" s="5" t="s">
        <v>10</v>
      </c>
    </row>
    <row r="13" spans="1:6" x14ac:dyDescent="0.25">
      <c r="A13" s="10"/>
      <c r="B13" s="4" t="s">
        <v>23</v>
      </c>
      <c r="C13" s="4" t="s">
        <v>29</v>
      </c>
      <c r="D13" s="4" t="s">
        <v>30</v>
      </c>
      <c r="E13" s="4" t="s">
        <v>26</v>
      </c>
      <c r="F13" s="5" t="s">
        <v>10</v>
      </c>
    </row>
    <row r="14" spans="1:6" x14ac:dyDescent="0.25">
      <c r="A14" s="10"/>
      <c r="B14" s="4" t="s">
        <v>23</v>
      </c>
      <c r="C14" s="4" t="s">
        <v>31</v>
      </c>
      <c r="D14" s="4" t="s">
        <v>32</v>
      </c>
      <c r="E14" s="4" t="s">
        <v>33</v>
      </c>
      <c r="F14" s="5" t="s">
        <v>10</v>
      </c>
    </row>
    <row r="15" spans="1:6" x14ac:dyDescent="0.25">
      <c r="A15" s="10"/>
      <c r="B15" s="4" t="s">
        <v>23</v>
      </c>
      <c r="C15" s="4" t="s">
        <v>34</v>
      </c>
      <c r="D15" s="4" t="s">
        <v>35</v>
      </c>
      <c r="E15" s="4" t="s">
        <v>36</v>
      </c>
      <c r="F15" s="5" t="s">
        <v>10</v>
      </c>
    </row>
    <row r="16" spans="1:6" x14ac:dyDescent="0.25">
      <c r="A16" s="10"/>
      <c r="B16" s="4" t="s">
        <v>23</v>
      </c>
      <c r="C16" s="4" t="s">
        <v>37</v>
      </c>
      <c r="D16" s="4" t="s">
        <v>38</v>
      </c>
      <c r="E16" s="4" t="s">
        <v>39</v>
      </c>
      <c r="F16" s="5" t="s">
        <v>10</v>
      </c>
    </row>
    <row r="17" spans="1:6" x14ac:dyDescent="0.25">
      <c r="A17" s="10"/>
      <c r="B17" s="4" t="s">
        <v>40</v>
      </c>
      <c r="C17" s="4" t="s">
        <v>41</v>
      </c>
      <c r="D17" s="4" t="s">
        <v>42</v>
      </c>
      <c r="E17" s="4" t="s">
        <v>43</v>
      </c>
      <c r="F17" s="5" t="s">
        <v>10</v>
      </c>
    </row>
    <row r="18" spans="1:6" x14ac:dyDescent="0.25">
      <c r="A18" s="10"/>
      <c r="B18" s="4" t="s">
        <v>40</v>
      </c>
      <c r="C18" s="4" t="s">
        <v>44</v>
      </c>
      <c r="D18" s="4" t="s">
        <v>45</v>
      </c>
      <c r="E18" s="4"/>
      <c r="F18" s="5" t="s">
        <v>10</v>
      </c>
    </row>
    <row r="19" spans="1:6" x14ac:dyDescent="0.25">
      <c r="A19" s="10"/>
      <c r="B19" s="4" t="s">
        <v>40</v>
      </c>
      <c r="C19" s="4" t="s">
        <v>46</v>
      </c>
      <c r="D19" s="4" t="s">
        <v>47</v>
      </c>
      <c r="E19" s="4" t="s">
        <v>48</v>
      </c>
      <c r="F19" s="5" t="s">
        <v>10</v>
      </c>
    </row>
    <row r="20" spans="1:6" x14ac:dyDescent="0.25">
      <c r="A20" s="10"/>
      <c r="B20" s="4" t="s">
        <v>49</v>
      </c>
      <c r="C20" s="4" t="s">
        <v>50</v>
      </c>
      <c r="D20" s="4" t="s">
        <v>51</v>
      </c>
      <c r="E20" s="4" t="s">
        <v>52</v>
      </c>
      <c r="F20" s="5" t="s">
        <v>10</v>
      </c>
    </row>
    <row r="21" spans="1:6" x14ac:dyDescent="0.25">
      <c r="A21" s="10"/>
      <c r="B21" s="4" t="s">
        <v>49</v>
      </c>
      <c r="C21" s="4" t="s">
        <v>53</v>
      </c>
      <c r="D21" s="4" t="s">
        <v>54</v>
      </c>
      <c r="E21" s="4" t="s">
        <v>55</v>
      </c>
      <c r="F21" s="5" t="s">
        <v>10</v>
      </c>
    </row>
    <row r="22" spans="1:6" x14ac:dyDescent="0.25">
      <c r="A22" s="10"/>
      <c r="B22" s="4" t="s">
        <v>49</v>
      </c>
      <c r="C22" s="4" t="s">
        <v>56</v>
      </c>
      <c r="D22" s="4" t="s">
        <v>57</v>
      </c>
      <c r="E22" s="4"/>
      <c r="F22" s="5" t="s">
        <v>10</v>
      </c>
    </row>
    <row r="23" spans="1:6" x14ac:dyDescent="0.25">
      <c r="A23" s="10"/>
      <c r="B23" s="4" t="s">
        <v>58</v>
      </c>
      <c r="C23" s="4" t="s">
        <v>59</v>
      </c>
      <c r="D23" s="4" t="s">
        <v>60</v>
      </c>
      <c r="E23" s="4" t="s">
        <v>61</v>
      </c>
      <c r="F23" s="5" t="s">
        <v>62</v>
      </c>
    </row>
    <row r="24" spans="1:6" x14ac:dyDescent="0.25">
      <c r="A24" s="10"/>
    </row>
    <row r="25" spans="1:6" x14ac:dyDescent="0.25">
      <c r="A25" s="10"/>
      <c r="B25" s="6" t="s">
        <v>63</v>
      </c>
      <c r="C25" s="2" t="str">
        <f>COUNTIF(F5:F23,"Tested")&amp;" of "&amp;(COUNTA(F5:F23)-COUNTIF(F5:F23,"Free"))&amp;" mapped inputs tested"</f>
        <v>0 of 18 mapped inputs tested</v>
      </c>
    </row>
  </sheetData>
  <dataValidations count="1">
    <dataValidation type="list" allowBlank="1" sqref="F5:F23" xr:uid="{00000000-0002-0000-0000-000000000000}">
      <formula1>"Planned,Coded,Tested,Free"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zoomScaleNormal="100" workbookViewId="0"/>
  </sheetViews>
  <sheetFormatPr defaultColWidth="8.7109375" defaultRowHeight="15" x14ac:dyDescent="0.25"/>
  <cols>
    <col min="1" max="1" width="5" customWidth="1"/>
    <col min="2" max="2" width="18" customWidth="1"/>
    <col min="3" max="3" width="110" customWidth="1"/>
  </cols>
  <sheetData>
    <row r="1" spans="1:3" ht="18" x14ac:dyDescent="0.25">
      <c r="A1" s="1" t="s">
        <v>64</v>
      </c>
    </row>
    <row r="3" spans="1:3" x14ac:dyDescent="0.25">
      <c r="A3" s="3" t="s">
        <v>65</v>
      </c>
      <c r="B3" s="3" t="s">
        <v>66</v>
      </c>
      <c r="C3" s="3" t="s">
        <v>67</v>
      </c>
    </row>
    <row r="4" spans="1:3" ht="25.5" x14ac:dyDescent="0.25">
      <c r="A4" s="4" t="s">
        <v>68</v>
      </c>
      <c r="B4" s="4" t="s">
        <v>69</v>
      </c>
      <c r="C4" s="4" t="s">
        <v>70</v>
      </c>
    </row>
    <row r="5" spans="1:3" x14ac:dyDescent="0.25">
      <c r="A5" s="4" t="s">
        <v>71</v>
      </c>
      <c r="B5" s="4" t="s">
        <v>72</v>
      </c>
      <c r="C5" s="4" t="s">
        <v>73</v>
      </c>
    </row>
    <row r="6" spans="1:3" x14ac:dyDescent="0.25">
      <c r="A6" s="4" t="s">
        <v>74</v>
      </c>
      <c r="B6" s="4" t="s">
        <v>75</v>
      </c>
      <c r="C6" s="4" t="s">
        <v>76</v>
      </c>
    </row>
    <row r="7" spans="1:3" x14ac:dyDescent="0.25">
      <c r="A7" s="4" t="s">
        <v>77</v>
      </c>
      <c r="B7" s="4" t="s">
        <v>78</v>
      </c>
      <c r="C7" s="4" t="s">
        <v>79</v>
      </c>
    </row>
    <row r="8" spans="1:3" x14ac:dyDescent="0.25">
      <c r="A8" s="4" t="s">
        <v>80</v>
      </c>
      <c r="B8" s="4" t="s">
        <v>81</v>
      </c>
      <c r="C8" s="4" t="s">
        <v>82</v>
      </c>
    </row>
    <row r="9" spans="1:3" x14ac:dyDescent="0.25">
      <c r="A9" s="4" t="s">
        <v>83</v>
      </c>
      <c r="B9" s="4" t="s">
        <v>84</v>
      </c>
      <c r="C9" s="4" t="s">
        <v>85</v>
      </c>
    </row>
    <row r="10" spans="1:3" x14ac:dyDescent="0.25">
      <c r="A10" s="4" t="s">
        <v>86</v>
      </c>
      <c r="B10" s="4" t="s">
        <v>87</v>
      </c>
      <c r="C10" s="4" t="s">
        <v>88</v>
      </c>
    </row>
    <row r="11" spans="1:3" x14ac:dyDescent="0.25">
      <c r="A11" s="4" t="s">
        <v>89</v>
      </c>
      <c r="B11" s="4" t="s">
        <v>90</v>
      </c>
      <c r="C11" s="4" t="s">
        <v>91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3"/>
  <sheetViews>
    <sheetView zoomScaleNormal="100" workbookViewId="0"/>
  </sheetViews>
  <sheetFormatPr defaultColWidth="8.7109375" defaultRowHeight="15" x14ac:dyDescent="0.25"/>
  <cols>
    <col min="1" max="1" width="24" customWidth="1"/>
    <col min="2" max="2" width="52" customWidth="1"/>
    <col min="3" max="3" width="80" customWidth="1"/>
  </cols>
  <sheetData>
    <row r="1" spans="1:3" ht="18" x14ac:dyDescent="0.25">
      <c r="A1" s="1" t="s">
        <v>92</v>
      </c>
    </row>
    <row r="3" spans="1:3" x14ac:dyDescent="0.25">
      <c r="A3" s="3" t="s">
        <v>93</v>
      </c>
      <c r="B3" s="3" t="s">
        <v>94</v>
      </c>
      <c r="C3" s="3" t="s">
        <v>5</v>
      </c>
    </row>
    <row r="4" spans="1:3" x14ac:dyDescent="0.25">
      <c r="A4" s="4" t="s">
        <v>95</v>
      </c>
      <c r="B4" s="4" t="s">
        <v>96</v>
      </c>
      <c r="C4" s="4" t="s">
        <v>97</v>
      </c>
    </row>
    <row r="5" spans="1:3" x14ac:dyDescent="0.25">
      <c r="A5" s="4" t="s">
        <v>98</v>
      </c>
      <c r="B5" s="4" t="s">
        <v>28</v>
      </c>
      <c r="C5" s="4" t="s">
        <v>99</v>
      </c>
    </row>
    <row r="6" spans="1:3" x14ac:dyDescent="0.25">
      <c r="A6" s="4" t="s">
        <v>100</v>
      </c>
      <c r="B6" s="4" t="s">
        <v>25</v>
      </c>
      <c r="C6" s="4" t="s">
        <v>99</v>
      </c>
    </row>
    <row r="7" spans="1:3" x14ac:dyDescent="0.25">
      <c r="A7" s="4" t="s">
        <v>101</v>
      </c>
      <c r="B7" s="4" t="s">
        <v>30</v>
      </c>
      <c r="C7" s="4" t="s">
        <v>99</v>
      </c>
    </row>
    <row r="8" spans="1:3" x14ac:dyDescent="0.25">
      <c r="A8" s="4" t="s">
        <v>102</v>
      </c>
      <c r="B8" s="4" t="s">
        <v>32</v>
      </c>
      <c r="C8" s="4" t="s">
        <v>99</v>
      </c>
    </row>
    <row r="9" spans="1:3" x14ac:dyDescent="0.25">
      <c r="A9" s="4" t="s">
        <v>103</v>
      </c>
      <c r="B9" s="4" t="s">
        <v>104</v>
      </c>
      <c r="C9" s="4" t="s">
        <v>99</v>
      </c>
    </row>
    <row r="10" spans="1:3" x14ac:dyDescent="0.25">
      <c r="A10" s="4" t="s">
        <v>105</v>
      </c>
      <c r="B10" s="4" t="s">
        <v>106</v>
      </c>
      <c r="C10" s="4" t="s">
        <v>99</v>
      </c>
    </row>
    <row r="11" spans="1:3" x14ac:dyDescent="0.25">
      <c r="A11" s="4" t="s">
        <v>107</v>
      </c>
      <c r="B11" s="4" t="s">
        <v>108</v>
      </c>
      <c r="C11" s="4" t="s">
        <v>109</v>
      </c>
    </row>
    <row r="12" spans="1:3" x14ac:dyDescent="0.25">
      <c r="A12" s="4" t="s">
        <v>110</v>
      </c>
      <c r="B12" s="4" t="s">
        <v>111</v>
      </c>
      <c r="C12" s="4" t="s">
        <v>55</v>
      </c>
    </row>
    <row r="13" spans="1:3" x14ac:dyDescent="0.25">
      <c r="A13" s="4" t="s">
        <v>112</v>
      </c>
      <c r="B13" s="4" t="s">
        <v>113</v>
      </c>
      <c r="C13" s="4" t="s">
        <v>114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8"/>
  <sheetViews>
    <sheetView zoomScaleNormal="100" workbookViewId="0"/>
  </sheetViews>
  <sheetFormatPr defaultColWidth="8.7109375" defaultRowHeight="15" x14ac:dyDescent="0.25"/>
  <cols>
    <col min="1" max="1" width="36" customWidth="1"/>
    <col min="2" max="2" width="14" customWidth="1"/>
    <col min="3" max="3" width="78" customWidth="1"/>
  </cols>
  <sheetData>
    <row r="1" spans="1:3" ht="18" x14ac:dyDescent="0.25">
      <c r="A1" s="1" t="s">
        <v>115</v>
      </c>
    </row>
    <row r="2" spans="1:3" x14ac:dyDescent="0.25">
      <c r="A2" s="2" t="s">
        <v>116</v>
      </c>
    </row>
    <row r="4" spans="1:3" x14ac:dyDescent="0.25">
      <c r="A4" s="3" t="s">
        <v>117</v>
      </c>
      <c r="B4" s="3" t="s">
        <v>118</v>
      </c>
      <c r="C4" s="3" t="s">
        <v>5</v>
      </c>
    </row>
    <row r="5" spans="1:3" x14ac:dyDescent="0.25">
      <c r="A5" s="4" t="s">
        <v>119</v>
      </c>
      <c r="B5" s="5">
        <v>2</v>
      </c>
      <c r="C5" s="4" t="s">
        <v>120</v>
      </c>
    </row>
    <row r="6" spans="1:3" x14ac:dyDescent="0.25">
      <c r="A6" s="4" t="s">
        <v>121</v>
      </c>
      <c r="B6" s="7">
        <v>0.6</v>
      </c>
      <c r="C6" s="4" t="s">
        <v>122</v>
      </c>
    </row>
    <row r="7" spans="1:3" x14ac:dyDescent="0.25">
      <c r="A7" s="4" t="s">
        <v>123</v>
      </c>
      <c r="B7" s="7">
        <v>5</v>
      </c>
      <c r="C7" s="4" t="s">
        <v>124</v>
      </c>
    </row>
    <row r="8" spans="1:3" x14ac:dyDescent="0.25">
      <c r="A8" s="4" t="s">
        <v>125</v>
      </c>
      <c r="B8" s="8">
        <v>0.4</v>
      </c>
      <c r="C8" s="4" t="s">
        <v>126</v>
      </c>
    </row>
    <row r="9" spans="1:3" x14ac:dyDescent="0.25">
      <c r="A9" s="4" t="s">
        <v>127</v>
      </c>
      <c r="B9" s="5">
        <v>2</v>
      </c>
      <c r="C9" s="4" t="s">
        <v>128</v>
      </c>
    </row>
    <row r="10" spans="1:3" x14ac:dyDescent="0.25">
      <c r="A10" s="4" t="s">
        <v>129</v>
      </c>
      <c r="B10" s="5">
        <v>20</v>
      </c>
      <c r="C10" s="4" t="s">
        <v>130</v>
      </c>
    </row>
    <row r="11" spans="1:3" x14ac:dyDescent="0.25">
      <c r="A11" s="4" t="s">
        <v>131</v>
      </c>
      <c r="B11" s="5">
        <v>400</v>
      </c>
      <c r="C11" s="4" t="s">
        <v>132</v>
      </c>
    </row>
    <row r="12" spans="1:3" x14ac:dyDescent="0.25">
      <c r="A12" s="4" t="s">
        <v>133</v>
      </c>
      <c r="B12" s="5">
        <v>75</v>
      </c>
      <c r="C12" s="4" t="s">
        <v>134</v>
      </c>
    </row>
    <row r="13" spans="1:3" x14ac:dyDescent="0.25">
      <c r="A13" s="4" t="s">
        <v>135</v>
      </c>
      <c r="B13" s="5">
        <v>200</v>
      </c>
      <c r="C13" s="4" t="s">
        <v>136</v>
      </c>
    </row>
    <row r="15" spans="1:3" x14ac:dyDescent="0.25">
      <c r="A15" s="6" t="s">
        <v>137</v>
      </c>
    </row>
    <row r="16" spans="1:3" x14ac:dyDescent="0.25">
      <c r="A16" s="4" t="s">
        <v>138</v>
      </c>
      <c r="B16" s="9">
        <f>1000/B10</f>
        <v>50</v>
      </c>
      <c r="C16" s="4" t="s">
        <v>139</v>
      </c>
    </row>
    <row r="17" spans="1:3" ht="25.5" x14ac:dyDescent="0.25">
      <c r="A17" s="4" t="s">
        <v>140</v>
      </c>
      <c r="B17" s="9">
        <f>B11/B16</f>
        <v>8</v>
      </c>
      <c r="C17" s="4" t="s">
        <v>141</v>
      </c>
    </row>
    <row r="18" spans="1:3" x14ac:dyDescent="0.25">
      <c r="A18" s="4" t="s">
        <v>142</v>
      </c>
      <c r="B18" s="4">
        <f>B13-B12</f>
        <v>125</v>
      </c>
      <c r="C18" s="4" t="s">
        <v>143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Button Map</vt:lpstr>
      <vt:lpstr>Turn Behaviour</vt:lpstr>
      <vt:lpstr>Protocol</vt:lpstr>
      <vt:lpstr>Tuning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Aydin Naufal Satwika Nugroho</cp:lastModifiedBy>
  <cp:revision>0</cp:revision>
  <dcterms:created xsi:type="dcterms:W3CDTF">2026-10-27T23:59:29Z</dcterms:created>
  <dcterms:modified xsi:type="dcterms:W3CDTF">2026-10-28T03:10:13Z</dcterms:modified>
  <dc:language>en-US</dc:language>
</cp:coreProperties>
</file>